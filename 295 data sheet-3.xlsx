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<sst xmlns="http://schemas.openxmlformats.org/spreadsheetml/2006/main" count="122" uniqueCount="78">
  <si>
    <t>exec time/DS</t>
  </si>
  <si>
    <t>dq1</t>
  </si>
  <si>
    <t>dq avg exec T</t>
  </si>
  <si>
    <t>dq2</t>
  </si>
  <si>
    <t>base 100000 avg</t>
  </si>
  <si>
    <t>dq3</t>
  </si>
  <si>
    <t>dq4</t>
  </si>
  <si>
    <t>dq5</t>
  </si>
  <si>
    <t>dq6</t>
  </si>
  <si>
    <t>dq7</t>
  </si>
  <si>
    <t>dq8</t>
  </si>
  <si>
    <t>deque</t>
  </si>
  <si>
    <t>dq9</t>
  </si>
  <si>
    <t>queue</t>
  </si>
  <si>
    <t>dq10</t>
  </si>
  <si>
    <t>linked list</t>
  </si>
  <si>
    <t>q1</t>
  </si>
  <si>
    <t>q avg exec T</t>
  </si>
  <si>
    <t>(First row = # of nodes )</t>
  </si>
  <si>
    <t>(Numbers = Avg Exec time)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</si>
  <si>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</si>
  <si>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</si>
  <si>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</si>
  <si>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</si>
  <si>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</si>
  <si>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</si>
  <si>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</si>
  <si>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</si>
  <si>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</si>
  <si>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ll1</t>
  </si>
  <si>
    <t>ll avg exec T</t>
  </si>
  <si>
    <t>ll2</t>
  </si>
  <si>
    <t>ll3</t>
  </si>
  <si>
    <t>ll4</t>
  </si>
  <si>
    <t>ll5</t>
  </si>
  <si>
    <t>ll6</t>
  </si>
  <si>
    <t>ll7</t>
  </si>
  <si>
    <t>ll8</t>
  </si>
  <si>
    <t>ll9</t>
  </si>
  <si>
    <t>ll10</t>
  </si>
  <si>
    <t>simd1</t>
  </si>
  <si>
    <t>simd avg exec T</t>
  </si>
  <si>
    <t>simd2</t>
  </si>
  <si>
    <t>simd3</t>
  </si>
  <si>
    <t>simd4</t>
  </si>
  <si>
    <t>Deque</t>
  </si>
  <si>
    <t>simd5</t>
  </si>
  <si>
    <t>SIMD Deque</t>
  </si>
  <si>
    <t>simd6</t>
  </si>
  <si>
    <t>simd7</t>
  </si>
  <si>
    <t>simd8</t>
  </si>
  <si>
    <t>simd9</t>
  </si>
  <si>
    <t>simd10</t>
  </si>
  <si>
    <t>c-misses #</t>
  </si>
  <si>
    <t>c-misses %</t>
  </si>
  <si>
    <t>c-ref #</t>
  </si>
  <si>
    <t>branch #</t>
  </si>
  <si>
    <t>b-miss #</t>
  </si>
  <si>
    <t>b-miss %</t>
  </si>
  <si>
    <t>exec t</t>
  </si>
  <si>
    <t xml:space="preserve">size </t>
  </si>
  <si>
    <t>avg cache-miss%</t>
  </si>
  <si>
    <t>avg exec time</t>
  </si>
  <si>
    <t>avg branch miss %</t>
  </si>
  <si>
    <t>linear graph</t>
  </si>
  <si>
    <t>random graph</t>
  </si>
  <si>
    <t>avg cache miss %</t>
  </si>
  <si>
    <t>linear graph dq</t>
  </si>
  <si>
    <t>ldq1</t>
  </si>
  <si>
    <t>ldq2</t>
  </si>
  <si>
    <t>ldq3</t>
  </si>
  <si>
    <t>ldq4</t>
  </si>
  <si>
    <t>ldq5</t>
  </si>
  <si>
    <t>ldq6</t>
  </si>
  <si>
    <t>ldq7</t>
  </si>
  <si>
    <t>ldq8</t>
  </si>
  <si>
    <t>ldq9</t>
  </si>
  <si>
    <t>ldq10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</si>
</sst>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0000"/>
  </numFmts>
  <fonts count="5">
    <font>
      <sz val="10.0"/>
      <color rgb="FF000000"/>
      <name val="Arial"/>
      <scheme val="minor"/>
    </font>
    <font>
      <color rgb="FF000000"/>
      <name val="Arial"/>
    </font>
    <font>
      <color theme="1"/>
      <name val="Arial"/>
      <scheme val="minor"/>
    </font>
    <font>
      <sz val="8.0"/>
      <color rgb="FF000000"/>
      <name val="&quot;Calibri&quot;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 vertical="bottom"/>
    </xf>
    <xf borderId="0" fillId="0" fontId="2" numFmtId="0" xfId="0" applyFont="1"/>
    <xf borderId="0" fillId="0" fontId="2" numFmtId="3" xfId="0" applyAlignment="1" applyFont="1" applyNumberFormat="1">
      <alignment readingOrder="0"/>
    </xf>
    <xf borderId="0" fillId="0" fontId="2" numFmtId="10" xfId="0" applyFont="1" applyNumberFormat="1"/>
    <xf borderId="0" fillId="0" fontId="2" numFmtId="164" xfId="0" applyAlignment="1" applyFont="1" applyNumberFormat="1">
      <alignment readingOrder="0"/>
    </xf>
    <xf borderId="0" fillId="0" fontId="4" numFmtId="0" xfId="0" applyAlignment="1" applyFont="1">
      <alignment horizontal="right" vertical="bottom"/>
    </xf>
    <xf borderId="0" fillId="0" fontId="2" numFmtId="164" xfId="0" applyFont="1" applyNumberFormat="1"/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DS BFS Exec Time comparison (size 10)</a:t>
            </a:r>
          </a:p>
        </c:rich>
      </c:tx>
      <c:layout>
        <c:manualLayout>
          <c:xMode val="edge"/>
          <c:yMode val="edge"/>
          <c:x val="0.03258333333333333"/>
          <c:y val="0.04730458221024259"/>
        </c:manualLayout>
      </c:layout>
      <c:overlay val="0"/>
    </c:title>
    <c:plotArea>
      <c:layout/>
      <c:lineChart>
        <c:ser>
          <c:idx val="0"/>
          <c:order val="0"/>
          <c:tx>
            <c:strRef>
              <c:f>Sheet1!$H$2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Sheet1!$I$1</c:f>
            </c:strRef>
          </c:cat>
          <c:val>
            <c:numRef>
              <c:f>Sheet1!$I$2</c:f>
              <c:numCache/>
            </c:numRef>
          </c:val>
          <c:smooth val="0"/>
        </c:ser>
        <c:ser>
          <c:idx val="1"/>
          <c:order val="1"/>
          <c:tx>
            <c:strRef>
              <c:f>Sheet1!$H$12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Sheet1!$I$1</c:f>
            </c:strRef>
          </c:cat>
          <c:val>
            <c:numRef>
              <c:f>Sheet1!$I$12</c:f>
              <c:numCache/>
            </c:numRef>
          </c:val>
          <c:smooth val="0"/>
        </c:ser>
        <c:ser>
          <c:idx val="2"/>
          <c:order val="2"/>
          <c:tx>
            <c:strRef>
              <c:f>Sheet1!$H$22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Sheet1!$I$1</c:f>
            </c:strRef>
          </c:cat>
          <c:val>
            <c:numRef>
              <c:f>Sheet1!$I$22</c:f>
              <c:numCache/>
            </c:numRef>
          </c:val>
          <c:smooth val="0"/>
        </c:ser>
        <c:axId val="376477644"/>
        <c:axId val="882965772"/>
      </c:lineChart>
      <c:catAx>
        <c:axId val="3764776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# of Nodes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2965772"/>
      </c:catAx>
      <c:valAx>
        <c:axId val="882965772"/>
        <c:scaling>
          <c:orientation val="minMax"/>
          <c:min val="3.0E-6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Execution Time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64776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Sheet1!$H$2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Sheet1!$I$1:$M$1</c:f>
            </c:strRef>
          </c:cat>
          <c:val>
            <c:numRef>
              <c:f>Sheet1!$I$2:$M$2</c:f>
              <c:numCache/>
            </c:numRef>
          </c:val>
          <c:smooth val="0"/>
        </c:ser>
        <c:ser>
          <c:idx val="1"/>
          <c:order val="1"/>
          <c:tx>
            <c:strRef>
              <c:f>Sheet1!$H$32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Sheet1!$I$1:$M$1</c:f>
            </c:strRef>
          </c:cat>
          <c:val>
            <c:numRef>
              <c:f>Sheet1!$I$32:$M$32</c:f>
              <c:numCache/>
            </c:numRef>
          </c:val>
          <c:smooth val="0"/>
        </c:ser>
        <c:axId val="1669747736"/>
        <c:axId val="1945655513"/>
      </c:lineChart>
      <c:catAx>
        <c:axId val="1669747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# of Nodes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5655513"/>
      </c:catAx>
      <c:valAx>
        <c:axId val="19456555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Exec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97477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cache-miss%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Sheet1!$L$45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Sheet1!$K$46:$K$53</c:f>
            </c:strRef>
          </c:cat>
          <c:val>
            <c:numRef>
              <c:f>Sheet1!$L$46:$L$53</c:f>
              <c:numCache/>
            </c:numRef>
          </c:val>
          <c:smooth val="0"/>
        </c:ser>
        <c:axId val="529538283"/>
        <c:axId val="1276124490"/>
      </c:lineChart>
      <c:catAx>
        <c:axId val="5295382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6124490"/>
      </c:catAx>
      <c:valAx>
        <c:axId val="12761244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cache-miss%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95382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execution time (log vert axis)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Sheet1!$K$53:$K$60</c:f>
            </c:strRef>
          </c:cat>
          <c:val>
            <c:numRef>
              <c:f>Sheet1!$L$53:$L$60</c:f>
              <c:numCache/>
            </c:numRef>
          </c:val>
          <c:smooth val="0"/>
        </c:ser>
        <c:axId val="1749378335"/>
        <c:axId val="1441037715"/>
      </c:lineChart>
      <c:catAx>
        <c:axId val="17493783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1037715"/>
      </c:catAx>
      <c:valAx>
        <c:axId val="14410377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exec time (log scaled)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93783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branch miss %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Sheet1!$L$72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Sheet1!$K$73:$K$74</c:f>
            </c:strRef>
          </c:cat>
          <c:val>
            <c:numRef>
              <c:f>Sheet1!$L$73:$L$74</c:f>
              <c:numCache/>
            </c:numRef>
          </c:val>
        </c:ser>
        <c:axId val="1964543451"/>
        <c:axId val="326125022"/>
      </c:barChart>
      <c:catAx>
        <c:axId val="19645434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6125022"/>
      </c:catAx>
      <c:valAx>
        <c:axId val="3261250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branch miss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45434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cache miss %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Sheet1!$L$83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Sheet1!$K$84:$K$86</c:f>
            </c:strRef>
          </c:cat>
          <c:val>
            <c:numRef>
              <c:f>Sheet1!$L$84:$L$86</c:f>
              <c:numCache/>
            </c:numRef>
          </c:val>
        </c:ser>
        <c:axId val="425208089"/>
        <c:axId val="1474413086"/>
      </c:barChart>
      <c:catAx>
        <c:axId val="4252080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4413086"/>
      </c:catAx>
      <c:valAx>
        <c:axId val="14744130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cache miss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52080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523875</xdr:colOff>
      <xdr:row>10</xdr:row>
      <xdr:rowOff>0</xdr:rowOff>
    </xdr:from>
    <xdr:ext cx="27813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361950</xdr:colOff>
      <xdr:row>13</xdr:row>
      <xdr:rowOff>28575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619125</xdr:colOff>
      <xdr:row>42</xdr:row>
      <xdr:rowOff>180975</xdr:rowOff>
    </xdr:from>
    <xdr:ext cx="3971925" cy="26098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619125</xdr:colOff>
      <xdr:row>56</xdr:row>
      <xdr:rowOff>85725</xdr:rowOff>
    </xdr:from>
    <xdr:ext cx="3971925" cy="24860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12</xdr:col>
      <xdr:colOff>485775</xdr:colOff>
      <xdr:row>71</xdr:row>
      <xdr:rowOff>38100</xdr:rowOff>
    </xdr:from>
    <xdr:ext cx="3190875" cy="19716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12</xdr:col>
      <xdr:colOff>485775</xdr:colOff>
      <xdr:row>81</xdr:row>
      <xdr:rowOff>123825</xdr:rowOff>
    </xdr:from>
    <xdr:ext cx="3190875" cy="19716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10.0</v>
      </c>
      <c r="C1" s="2">
        <v>100.0</v>
      </c>
      <c r="D1" s="2">
        <v>1000.0</v>
      </c>
      <c r="E1" s="2">
        <v>10000.0</v>
      </c>
      <c r="F1" s="2">
        <v>100000.0</v>
      </c>
      <c r="G1" s="2">
        <v>1000000.0</v>
      </c>
      <c r="I1" s="2">
        <v>10.0</v>
      </c>
      <c r="J1" s="2">
        <v>100.0</v>
      </c>
      <c r="K1" s="2">
        <v>1000.0</v>
      </c>
      <c r="L1" s="2">
        <v>10000.0</v>
      </c>
      <c r="M1" s="2">
        <v>100000.0</v>
      </c>
      <c r="N1" s="2">
        <v>1000000.0</v>
      </c>
    </row>
    <row r="2">
      <c r="A2" s="2" t="s">
        <v>1</v>
      </c>
      <c r="B2" s="2">
        <v>2.937E-6</v>
      </c>
      <c r="C2" s="3">
        <v>1.03832E-4</v>
      </c>
      <c r="D2" s="3">
        <v>0.00760739</v>
      </c>
      <c r="E2" s="3">
        <v>0.704215</v>
      </c>
      <c r="F2" s="3">
        <v>70.5602</v>
      </c>
      <c r="H2" s="2" t="s">
        <v>2</v>
      </c>
      <c r="I2" s="4">
        <f>AVERAGE(B2:B11)</f>
        <v>0.0000031412</v>
      </c>
      <c r="J2" s="4">
        <f>average(C2:C11)</f>
        <v>0.0000915683</v>
      </c>
      <c r="K2" s="4">
        <f t="shared" ref="K2:L2" si="1">AVERAGE(D2:D11)</f>
        <v>0.007295474</v>
      </c>
      <c r="L2" s="4">
        <f t="shared" si="1"/>
        <v>0.7101527</v>
      </c>
      <c r="M2" s="4">
        <f>average(F2:F11)</f>
        <v>70.3469</v>
      </c>
    </row>
    <row r="3">
      <c r="A3" s="2" t="s">
        <v>3</v>
      </c>
      <c r="B3" s="2">
        <v>2.617E-6</v>
      </c>
      <c r="C3" s="3">
        <v>9.8143E-5</v>
      </c>
      <c r="D3" s="3">
        <v>0.00772768</v>
      </c>
      <c r="E3" s="3">
        <v>0.697573</v>
      </c>
      <c r="F3" s="3">
        <v>70.1276</v>
      </c>
      <c r="H3" s="2" t="s">
        <v>4</v>
      </c>
      <c r="I3" s="4">
        <f>I2*10000</f>
        <v>0.031412</v>
      </c>
      <c r="J3" s="4">
        <f>J2*1000</f>
        <v>0.0915683</v>
      </c>
      <c r="K3" s="4">
        <f>K2*100</f>
        <v>0.7295474</v>
      </c>
      <c r="L3" s="4">
        <f>L2*10</f>
        <v>7.101527</v>
      </c>
      <c r="M3" s="4">
        <f>M2</f>
        <v>70.3469</v>
      </c>
    </row>
    <row r="4">
      <c r="A4" s="2" t="s">
        <v>5</v>
      </c>
      <c r="B4" s="2">
        <v>2.741E-6</v>
      </c>
      <c r="C4" s="3">
        <v>9.9741E-5</v>
      </c>
      <c r="D4" s="3">
        <v>0.00733588</v>
      </c>
      <c r="E4" s="3">
        <v>0.71503</v>
      </c>
      <c r="F4" s="2">
        <v>70.5687</v>
      </c>
      <c r="I4" s="4">
        <f t="shared" ref="I4:L4" si="2">I3/J3</f>
        <v>0.3430444816</v>
      </c>
      <c r="J4" s="4">
        <f t="shared" si="2"/>
        <v>0.125513846</v>
      </c>
      <c r="K4" s="4">
        <f t="shared" si="2"/>
        <v>0.1027310605</v>
      </c>
      <c r="L4" s="4">
        <f t="shared" si="2"/>
        <v>0.1009501058</v>
      </c>
    </row>
    <row r="5">
      <c r="A5" s="2" t="s">
        <v>6</v>
      </c>
      <c r="B5" s="2">
        <v>2.736E-6</v>
      </c>
      <c r="C5" s="3">
        <v>8.5258E-5</v>
      </c>
      <c r="D5" s="3">
        <v>0.00666265</v>
      </c>
      <c r="E5" s="3">
        <v>0.716429</v>
      </c>
      <c r="F5" s="2">
        <v>70.2507</v>
      </c>
    </row>
    <row r="6">
      <c r="A6" s="2" t="s">
        <v>7</v>
      </c>
      <c r="B6" s="2">
        <v>6.979E-6</v>
      </c>
      <c r="C6" s="3">
        <v>9.6993E-5</v>
      </c>
      <c r="D6" s="3">
        <v>0.00691955</v>
      </c>
      <c r="E6" s="3">
        <v>0.726428</v>
      </c>
      <c r="F6" s="2">
        <v>70.2777</v>
      </c>
    </row>
    <row r="7">
      <c r="A7" s="2" t="s">
        <v>8</v>
      </c>
      <c r="B7" s="2">
        <v>2.721E-6</v>
      </c>
      <c r="C7" s="3">
        <v>1.01332E-4</v>
      </c>
      <c r="D7" s="3">
        <v>0.00730635</v>
      </c>
      <c r="E7" s="3">
        <v>0.710732</v>
      </c>
      <c r="F7" s="2">
        <v>70.2965</v>
      </c>
    </row>
    <row r="8">
      <c r="A8" s="2" t="s">
        <v>9</v>
      </c>
      <c r="B8" s="2">
        <v>2.703E-6</v>
      </c>
      <c r="C8" s="3">
        <v>8.3969E-5</v>
      </c>
      <c r="D8" s="3">
        <v>0.00793208</v>
      </c>
      <c r="E8" s="3">
        <v>0.704277</v>
      </c>
      <c r="P8" s="2">
        <v>10.0</v>
      </c>
      <c r="Q8" s="2">
        <v>100.0</v>
      </c>
      <c r="R8" s="2">
        <v>1000.0</v>
      </c>
      <c r="S8" s="2">
        <v>10000.0</v>
      </c>
    </row>
    <row r="9">
      <c r="A9" s="2" t="s">
        <v>10</v>
      </c>
      <c r="B9" s="2">
        <v>2.708E-6</v>
      </c>
      <c r="C9" s="3">
        <v>8.4702E-5</v>
      </c>
      <c r="D9" s="3">
        <v>0.00715831</v>
      </c>
      <c r="E9" s="3">
        <v>0.716127</v>
      </c>
      <c r="O9" s="2" t="s">
        <v>11</v>
      </c>
      <c r="P9" s="4">
        <f t="shared" ref="P9:S9" si="3">I2</f>
        <v>0.0000031412</v>
      </c>
      <c r="Q9" s="4">
        <f t="shared" si="3"/>
        <v>0.0000915683</v>
      </c>
      <c r="R9" s="4">
        <f t="shared" si="3"/>
        <v>0.007295474</v>
      </c>
      <c r="S9" s="4">
        <f t="shared" si="3"/>
        <v>0.7101527</v>
      </c>
      <c r="T9" s="4">
        <f>S9/S11</f>
        <v>1.005269737</v>
      </c>
    </row>
    <row r="10">
      <c r="A10" s="2" t="s">
        <v>12</v>
      </c>
      <c r="B10" s="2">
        <v>2.632E-6</v>
      </c>
      <c r="C10" s="3">
        <v>7.5945E-5</v>
      </c>
      <c r="D10" s="3">
        <v>0.00692326</v>
      </c>
      <c r="E10" s="3">
        <v>0.70165</v>
      </c>
      <c r="O10" s="2" t="s">
        <v>13</v>
      </c>
      <c r="P10" s="4">
        <f t="shared" ref="P10:S10" si="4">I12</f>
        <v>0.0000033909</v>
      </c>
      <c r="Q10" s="4">
        <f t="shared" si="4"/>
        <v>0.0000911877</v>
      </c>
      <c r="R10" s="4">
        <f t="shared" si="4"/>
        <v>0.007305225</v>
      </c>
      <c r="S10" s="4">
        <f t="shared" si="4"/>
        <v>0.712286</v>
      </c>
      <c r="T10" s="4">
        <f>S10/S11</f>
        <v>1.008289569</v>
      </c>
    </row>
    <row r="11">
      <c r="A11" s="2" t="s">
        <v>14</v>
      </c>
      <c r="B11" s="2">
        <v>2.638E-6</v>
      </c>
      <c r="C11" s="3">
        <v>8.5768E-5</v>
      </c>
      <c r="D11" s="3">
        <v>0.00738159</v>
      </c>
      <c r="E11" s="3">
        <v>0.709066</v>
      </c>
      <c r="O11" s="2" t="s">
        <v>15</v>
      </c>
      <c r="P11" s="4">
        <f t="shared" ref="P11:S11" si="5">I22</f>
        <v>0.0000038413</v>
      </c>
      <c r="Q11" s="4">
        <f t="shared" si="5"/>
        <v>0.0000945236</v>
      </c>
      <c r="R11" s="4">
        <f t="shared" si="5"/>
        <v>0.007259235</v>
      </c>
      <c r="S11" s="4">
        <f t="shared" si="5"/>
        <v>0.70643</v>
      </c>
    </row>
    <row r="12">
      <c r="A12" s="2" t="s">
        <v>16</v>
      </c>
      <c r="B12" s="2">
        <v>2.716E-6</v>
      </c>
      <c r="C12" s="3">
        <v>8.3185E-5</v>
      </c>
      <c r="D12" s="3">
        <v>0.00787424</v>
      </c>
      <c r="E12" s="3">
        <v>0.701363</v>
      </c>
      <c r="F12" s="2">
        <v>70.2823</v>
      </c>
      <c r="H12" s="2" t="s">
        <v>17</v>
      </c>
      <c r="I12" s="4">
        <f t="shared" ref="I12:L12" si="6">AVERAGE(B12:B21)</f>
        <v>0.0000033909</v>
      </c>
      <c r="J12" s="4">
        <f t="shared" si="6"/>
        <v>0.0000911877</v>
      </c>
      <c r="K12" s="4">
        <f t="shared" si="6"/>
        <v>0.007305225</v>
      </c>
      <c r="L12" s="4">
        <f t="shared" si="6"/>
        <v>0.712286</v>
      </c>
      <c r="M12" s="4">
        <f>average(F12:F13)</f>
        <v>70.1298</v>
      </c>
      <c r="P12" s="2" t="s">
        <v>18</v>
      </c>
      <c r="R12" s="2" t="s">
        <v>19</v>
      </c>
    </row>
    <row r="13">
      <c r="A13" s="2" t="s">
        <v>20</v>
      </c>
      <c r="B13" s="2">
        <v>3.009E-6</v>
      </c>
      <c r="C13" s="3">
        <v>9.3435E-5</v>
      </c>
      <c r="D13" s="3">
        <v>0.00711317</v>
      </c>
      <c r="E13" s="3">
        <v>0.710847</v>
      </c>
      <c r="F13" s="3">
        <v>69.9773</v>
      </c>
      <c r="I13" s="4">
        <f>I12*10000</f>
        <v>0.033909</v>
      </c>
      <c r="J13" s="4">
        <f>J12*1000</f>
        <v>0.0911877</v>
      </c>
      <c r="K13" s="4">
        <f>K12*100</f>
        <v>0.7305225</v>
      </c>
      <c r="L13" s="4">
        <f>L12*10</f>
        <v>7.12286</v>
      </c>
      <c r="M13" s="4">
        <f>M12</f>
        <v>70.1298</v>
      </c>
    </row>
    <row r="14">
      <c r="A14" s="2" t="s">
        <v>21</v>
      </c>
      <c r="B14" s="2">
        <v>4.517E-6</v>
      </c>
      <c r="C14" s="3">
        <v>8.9385E-5</v>
      </c>
      <c r="D14" s="3">
        <v>0.00694759</v>
      </c>
      <c r="E14" s="3">
        <v>0.711413</v>
      </c>
      <c r="F14" s="3">
        <v>70.5571</v>
      </c>
      <c r="I14" s="4">
        <f t="shared" ref="I14:L14" si="7">I13/J13</f>
        <v>0.3718593626</v>
      </c>
      <c r="J14" s="4">
        <f t="shared" si="7"/>
        <v>0.1248253134</v>
      </c>
      <c r="K14" s="4">
        <f t="shared" si="7"/>
        <v>0.1025602778</v>
      </c>
      <c r="L14" s="4">
        <f t="shared" si="7"/>
        <v>0.101566809</v>
      </c>
    </row>
    <row r="15">
      <c r="A15" s="2" t="s">
        <v>22</v>
      </c>
      <c r="B15" s="2">
        <v>2.923E-6</v>
      </c>
      <c r="C15" s="3">
        <v>9.4264E-5</v>
      </c>
      <c r="D15" s="3">
        <v>0.00701361</v>
      </c>
      <c r="E15" s="3">
        <v>0.705746</v>
      </c>
    </row>
    <row r="16">
      <c r="A16" s="2" t="s">
        <v>23</v>
      </c>
      <c r="B16" s="2">
        <v>3.337E-6</v>
      </c>
      <c r="C16" s="3">
        <v>8.7453E-5</v>
      </c>
      <c r="D16" s="3">
        <v>0.00688658</v>
      </c>
      <c r="E16" s="3">
        <v>0.710358</v>
      </c>
    </row>
    <row r="17">
      <c r="A17" s="2" t="s">
        <v>24</v>
      </c>
      <c r="B17" s="2">
        <v>3.534E-6</v>
      </c>
      <c r="C17" s="3">
        <v>8.4069E-5</v>
      </c>
      <c r="D17" s="3">
        <v>0.00764644</v>
      </c>
      <c r="E17" s="3">
        <v>0.7134</v>
      </c>
    </row>
    <row r="18">
      <c r="A18" s="2" t="s">
        <v>25</v>
      </c>
      <c r="B18" s="2">
        <v>3.563E-6</v>
      </c>
      <c r="C18" s="3">
        <v>9.6179E-5</v>
      </c>
      <c r="D18" s="3">
        <v>0.00702642</v>
      </c>
      <c r="E18" s="3">
        <v>0.699251</v>
      </c>
    </row>
    <row r="19">
      <c r="A19" s="2" t="s">
        <v>26</v>
      </c>
      <c r="B19" s="2">
        <v>3.433E-6</v>
      </c>
      <c r="C19" s="3">
        <v>1.04441E-4</v>
      </c>
      <c r="D19" s="3">
        <v>0.00720073</v>
      </c>
      <c r="E19" s="3">
        <v>0.698277</v>
      </c>
    </row>
    <row r="20">
      <c r="A20" s="2" t="s">
        <v>27</v>
      </c>
      <c r="B20" s="2">
        <v>3.409E-6</v>
      </c>
      <c r="C20" s="3">
        <v>8.2824E-5</v>
      </c>
      <c r="D20" s="3">
        <v>0.00785493</v>
      </c>
      <c r="E20" s="3">
        <v>0.755337</v>
      </c>
    </row>
    <row r="21">
      <c r="A21" s="2" t="s">
        <v>28</v>
      </c>
      <c r="B21" s="2">
        <v>3.468E-6</v>
      </c>
      <c r="C21" s="3">
        <v>9.6642E-5</v>
      </c>
      <c r="D21" s="3">
        <v>0.00748854</v>
      </c>
      <c r="E21" s="3">
        <v>0.716868</v>
      </c>
    </row>
    <row r="22">
      <c r="A22" s="2" t="s">
        <v>29</v>
      </c>
      <c r="B22" s="2">
        <v>3.709E-6</v>
      </c>
      <c r="C22" s="3">
        <v>1.06027E-4</v>
      </c>
      <c r="D22" s="3">
        <v>0.00760973</v>
      </c>
      <c r="E22" s="3">
        <v>0.699508</v>
      </c>
      <c r="F22" s="3">
        <v>71.4052</v>
      </c>
      <c r="H22" s="2" t="s">
        <v>30</v>
      </c>
      <c r="I22" s="4">
        <f t="shared" ref="I22:L22" si="8">AVERAGE(B22:B31)</f>
        <v>0.0000038413</v>
      </c>
      <c r="J22" s="4">
        <f t="shared" si="8"/>
        <v>0.0000945236</v>
      </c>
      <c r="K22" s="4">
        <f t="shared" si="8"/>
        <v>0.007259235</v>
      </c>
      <c r="L22" s="4">
        <f t="shared" si="8"/>
        <v>0.70643</v>
      </c>
      <c r="M22" s="4">
        <f>average(F22:F23)</f>
        <v>71.4756</v>
      </c>
    </row>
    <row r="23">
      <c r="A23" s="2" t="s">
        <v>31</v>
      </c>
      <c r="B23" s="2">
        <v>3.566E-6</v>
      </c>
      <c r="C23" s="3">
        <v>9.4579E-5</v>
      </c>
      <c r="D23" s="3">
        <v>0.00715645</v>
      </c>
      <c r="E23" s="3">
        <v>0.712445</v>
      </c>
      <c r="F23" s="3">
        <v>71.546</v>
      </c>
      <c r="I23" s="4">
        <f>I22*10000</f>
        <v>0.038413</v>
      </c>
      <c r="J23" s="4">
        <f>J22*1000</f>
        <v>0.0945236</v>
      </c>
      <c r="K23" s="4">
        <f>K22*100</f>
        <v>0.7259235</v>
      </c>
      <c r="L23" s="4">
        <f>L22*10</f>
        <v>7.0643</v>
      </c>
      <c r="M23" s="4">
        <f>M22</f>
        <v>71.4756</v>
      </c>
    </row>
    <row r="24">
      <c r="A24" s="2" t="s">
        <v>32</v>
      </c>
      <c r="B24" s="2">
        <v>3.782E-6</v>
      </c>
      <c r="C24" s="3">
        <v>1.10241E-4</v>
      </c>
      <c r="D24" s="3">
        <v>0.00736424</v>
      </c>
      <c r="E24" s="3">
        <v>0.706441</v>
      </c>
      <c r="F24" s="3">
        <v>3.19104</v>
      </c>
      <c r="I24" s="4">
        <f t="shared" ref="I24:L24" si="9">I23/J23</f>
        <v>0.4063852837</v>
      </c>
      <c r="J24" s="4">
        <f t="shared" si="9"/>
        <v>0.1302115168</v>
      </c>
      <c r="K24" s="4">
        <f t="shared" si="9"/>
        <v>0.1027594383</v>
      </c>
      <c r="L24" s="4">
        <f t="shared" si="9"/>
        <v>0.09883512695</v>
      </c>
    </row>
    <row r="25">
      <c r="A25" s="2" t="s">
        <v>33</v>
      </c>
      <c r="B25" s="2">
        <v>3.883E-6</v>
      </c>
      <c r="C25" s="3">
        <v>8.046E-5</v>
      </c>
      <c r="D25" s="3">
        <v>0.0075244</v>
      </c>
      <c r="E25" s="3">
        <v>0.705329</v>
      </c>
      <c r="F25" s="3">
        <v>3.20162</v>
      </c>
    </row>
    <row r="26">
      <c r="A26" s="2" t="s">
        <v>34</v>
      </c>
      <c r="B26" s="2">
        <v>3.868E-6</v>
      </c>
      <c r="C26" s="3">
        <v>8.9178E-5</v>
      </c>
      <c r="D26" s="3">
        <v>0.00764775</v>
      </c>
      <c r="E26" s="3">
        <v>0.703595</v>
      </c>
    </row>
    <row r="27">
      <c r="A27" s="2" t="s">
        <v>35</v>
      </c>
      <c r="B27" s="2">
        <v>3.802E-6</v>
      </c>
      <c r="C27" s="3">
        <v>9.7869E-5</v>
      </c>
      <c r="D27" s="3">
        <v>0.0070726</v>
      </c>
      <c r="E27" s="3">
        <v>0.706372</v>
      </c>
    </row>
    <row r="28">
      <c r="A28" s="2" t="s">
        <v>36</v>
      </c>
      <c r="B28" s="2">
        <v>4.052E-6</v>
      </c>
      <c r="C28" s="3">
        <v>1.069E-4</v>
      </c>
      <c r="D28" s="3">
        <v>0.00709147</v>
      </c>
      <c r="E28" s="3">
        <v>0.704727</v>
      </c>
    </row>
    <row r="29">
      <c r="A29" s="2" t="s">
        <v>37</v>
      </c>
      <c r="B29" s="2">
        <v>3.937E-6</v>
      </c>
      <c r="C29" s="3">
        <v>8.5413E-5</v>
      </c>
      <c r="D29" s="3">
        <v>0.006753</v>
      </c>
      <c r="E29" s="3">
        <v>0.709753</v>
      </c>
    </row>
    <row r="30">
      <c r="A30" s="2" t="s">
        <v>38</v>
      </c>
      <c r="B30" s="2">
        <v>3.895E-6</v>
      </c>
      <c r="C30" s="3">
        <v>8.9482E-5</v>
      </c>
      <c r="D30" s="3">
        <v>0.00718566</v>
      </c>
      <c r="E30" s="3">
        <v>0.702627</v>
      </c>
    </row>
    <row r="31">
      <c r="A31" s="2" t="s">
        <v>39</v>
      </c>
      <c r="B31" s="2">
        <v>3.919E-6</v>
      </c>
      <c r="C31" s="3">
        <v>8.5087E-5</v>
      </c>
      <c r="D31" s="3">
        <v>0.00718705</v>
      </c>
      <c r="E31" s="3">
        <v>0.713503</v>
      </c>
      <c r="F31" s="3">
        <v>3.19104</v>
      </c>
    </row>
    <row r="32">
      <c r="A32" s="2" t="s">
        <v>40</v>
      </c>
      <c r="B32" s="2">
        <v>1.358E-6</v>
      </c>
      <c r="C32" s="3">
        <v>8.484E-6</v>
      </c>
      <c r="D32" s="3">
        <v>3.19612E-4</v>
      </c>
      <c r="E32" s="3">
        <v>0.0336013</v>
      </c>
      <c r="F32" s="3">
        <v>3.20162</v>
      </c>
      <c r="H32" s="2" t="s">
        <v>41</v>
      </c>
      <c r="I32" s="4">
        <f>average(B32:B41)</f>
        <v>0.0000012703</v>
      </c>
      <c r="J32" s="4">
        <f t="shared" ref="J32:L32" si="10">AVERAGE(C32:C41)</f>
        <v>0.0000094526</v>
      </c>
      <c r="K32" s="4">
        <f t="shared" si="10"/>
        <v>0.0003335608</v>
      </c>
      <c r="L32" s="4">
        <f t="shared" si="10"/>
        <v>0.03636798</v>
      </c>
      <c r="M32" s="4">
        <f>average(F32:F33)</f>
        <v>3.47051</v>
      </c>
    </row>
    <row r="33">
      <c r="A33" s="2" t="s">
        <v>42</v>
      </c>
      <c r="B33" s="2">
        <v>1.235E-6</v>
      </c>
      <c r="C33" s="3">
        <v>1.0019E-5</v>
      </c>
      <c r="D33" s="3">
        <v>3.42857E-4</v>
      </c>
      <c r="E33" s="3">
        <v>0.0403788</v>
      </c>
      <c r="F33" s="2">
        <v>3.7394</v>
      </c>
      <c r="I33" s="4">
        <f>I32*10000</f>
        <v>0.012703</v>
      </c>
      <c r="J33" s="4">
        <f>J32*1000</f>
        <v>0.0094526</v>
      </c>
      <c r="K33" s="4">
        <f>K32*100</f>
        <v>0.03335608</v>
      </c>
      <c r="L33" s="4">
        <f>L32*10</f>
        <v>0.3636798</v>
      </c>
      <c r="M33" s="4">
        <f>M32</f>
        <v>3.47051</v>
      </c>
    </row>
    <row r="34">
      <c r="A34" s="2" t="s">
        <v>43</v>
      </c>
      <c r="B34" s="2">
        <v>1.252E-6</v>
      </c>
      <c r="C34" s="3">
        <v>9.038E-6</v>
      </c>
      <c r="D34" s="3">
        <v>3.25286E-4</v>
      </c>
      <c r="E34" s="3">
        <v>0.0335991</v>
      </c>
      <c r="F34" s="2">
        <v>3.7463</v>
      </c>
      <c r="I34" s="4">
        <f t="shared" ref="I34:L34" si="11">I33/J33</f>
        <v>1.343863064</v>
      </c>
      <c r="J34" s="4">
        <f t="shared" si="11"/>
        <v>0.2833846183</v>
      </c>
      <c r="K34" s="4">
        <f t="shared" si="11"/>
        <v>0.09171826425</v>
      </c>
      <c r="L34" s="4">
        <f t="shared" si="11"/>
        <v>0.1047914572</v>
      </c>
      <c r="P34" s="2">
        <v>10.0</v>
      </c>
      <c r="Q34" s="2">
        <v>100.0</v>
      </c>
      <c r="R34" s="2">
        <v>1000.0</v>
      </c>
      <c r="S34" s="2">
        <v>10000.0</v>
      </c>
      <c r="T34" s="2">
        <v>100000.0</v>
      </c>
    </row>
    <row r="35">
      <c r="A35" s="2" t="s">
        <v>44</v>
      </c>
      <c r="B35" s="2">
        <v>1.271E-6</v>
      </c>
      <c r="C35" s="3">
        <v>8.705E-6</v>
      </c>
      <c r="D35" s="3">
        <v>3.20557E-4</v>
      </c>
      <c r="E35" s="3">
        <v>0.0340165</v>
      </c>
      <c r="F35" s="2">
        <v>3.75257</v>
      </c>
      <c r="O35" s="2" t="s">
        <v>45</v>
      </c>
      <c r="P35" s="4">
        <f t="shared" ref="P35:S35" si="12">P9</f>
        <v>0.0000031412</v>
      </c>
      <c r="Q35" s="4">
        <f t="shared" si="12"/>
        <v>0.0000915683</v>
      </c>
      <c r="R35" s="4">
        <f t="shared" si="12"/>
        <v>0.007295474</v>
      </c>
      <c r="S35" s="4">
        <f t="shared" si="12"/>
        <v>0.7101527</v>
      </c>
      <c r="T35" s="4">
        <f>M2</f>
        <v>70.3469</v>
      </c>
    </row>
    <row r="36">
      <c r="A36" s="2" t="s">
        <v>46</v>
      </c>
      <c r="B36" s="2">
        <v>1.175E-6</v>
      </c>
      <c r="C36" s="3">
        <v>8.462E-6</v>
      </c>
      <c r="D36" s="3">
        <v>3.19263E-4</v>
      </c>
      <c r="E36" s="3">
        <v>0.0340324</v>
      </c>
      <c r="O36" s="2" t="s">
        <v>47</v>
      </c>
      <c r="P36" s="4">
        <f t="shared" ref="P36:T36" si="13">I32</f>
        <v>0.0000012703</v>
      </c>
      <c r="Q36" s="4">
        <f t="shared" si="13"/>
        <v>0.0000094526</v>
      </c>
      <c r="R36" s="4">
        <f t="shared" si="13"/>
        <v>0.0003335608</v>
      </c>
      <c r="S36" s="4">
        <f t="shared" si="13"/>
        <v>0.03636798</v>
      </c>
      <c r="T36" s="4">
        <f t="shared" si="13"/>
        <v>3.47051</v>
      </c>
    </row>
    <row r="37">
      <c r="A37" s="2" t="s">
        <v>48</v>
      </c>
      <c r="B37" s="2">
        <v>1.382E-6</v>
      </c>
      <c r="C37" s="3">
        <v>1.03E-5</v>
      </c>
      <c r="D37" s="3">
        <v>3.32094E-4</v>
      </c>
      <c r="E37" s="3">
        <v>0.0399914</v>
      </c>
      <c r="P37" s="2" t="s">
        <v>18</v>
      </c>
      <c r="R37" s="2" t="s">
        <v>19</v>
      </c>
    </row>
    <row r="38">
      <c r="A38" s="2" t="s">
        <v>49</v>
      </c>
      <c r="B38" s="2">
        <v>1.247E-6</v>
      </c>
      <c r="C38" s="3">
        <v>1.0413E-5</v>
      </c>
      <c r="D38" s="3">
        <v>3.39363E-4</v>
      </c>
      <c r="E38" s="3">
        <v>0.0401629</v>
      </c>
    </row>
    <row r="39">
      <c r="A39" s="2" t="s">
        <v>50</v>
      </c>
      <c r="B39" s="2">
        <v>1.304E-6</v>
      </c>
      <c r="C39" s="3">
        <v>8.476E-6</v>
      </c>
      <c r="D39" s="3">
        <v>3.40761E-4</v>
      </c>
      <c r="E39" s="3">
        <v>0.0341579</v>
      </c>
    </row>
    <row r="40">
      <c r="A40" s="2" t="s">
        <v>51</v>
      </c>
      <c r="B40" s="2">
        <v>1.229E-6</v>
      </c>
      <c r="C40" s="3">
        <v>8.017E-6</v>
      </c>
      <c r="D40" s="3">
        <v>3.74717E-4</v>
      </c>
      <c r="E40" s="3">
        <v>0.0398979</v>
      </c>
    </row>
    <row r="41">
      <c r="A41" s="2" t="s">
        <v>52</v>
      </c>
      <c r="B41" s="2">
        <v>1.25E-6</v>
      </c>
      <c r="C41" s="3">
        <v>1.2612E-5</v>
      </c>
      <c r="D41" s="3">
        <v>3.21098E-4</v>
      </c>
      <c r="E41" s="3">
        <v>0.0338416</v>
      </c>
    </row>
    <row r="44">
      <c r="B44" s="2" t="s">
        <v>53</v>
      </c>
      <c r="C44" s="2" t="s">
        <v>54</v>
      </c>
      <c r="D44" s="2" t="s">
        <v>55</v>
      </c>
      <c r="E44" s="2" t="s">
        <v>56</v>
      </c>
      <c r="F44" s="2" t="s">
        <v>57</v>
      </c>
      <c r="G44" s="2" t="s">
        <v>58</v>
      </c>
      <c r="H44" s="2" t="s">
        <v>59</v>
      </c>
      <c r="I44" s="2" t="s">
        <v>60</v>
      </c>
    </row>
    <row r="45">
      <c r="A45" s="2" t="s">
        <v>1</v>
      </c>
      <c r="B45" s="5">
        <v>8645.0</v>
      </c>
      <c r="C45" s="6">
        <f t="shared" ref="C45:C84" si="14">DIVIDE(B45,D45)</f>
        <v>0.1805819564</v>
      </c>
      <c r="D45" s="2">
        <v>47873.0</v>
      </c>
      <c r="E45" s="5">
        <v>727570.0</v>
      </c>
      <c r="F45" s="2">
        <v>17533.0</v>
      </c>
      <c r="G45" s="6">
        <f t="shared" ref="G45:G84" si="15">DIVIDE(F45,E45)</f>
        <v>0.02409802493</v>
      </c>
      <c r="H45" s="7">
        <v>2.824E-6</v>
      </c>
      <c r="I45" s="2">
        <v>10.0</v>
      </c>
      <c r="L45" s="2" t="s">
        <v>61</v>
      </c>
    </row>
    <row r="46">
      <c r="A46" s="2" t="s">
        <v>3</v>
      </c>
      <c r="B46" s="5">
        <v>9023.0</v>
      </c>
      <c r="C46" s="6">
        <f t="shared" si="14"/>
        <v>0.1821393246</v>
      </c>
      <c r="D46" s="5">
        <v>49539.0</v>
      </c>
      <c r="E46" s="5">
        <v>716282.0</v>
      </c>
      <c r="F46" s="5">
        <v>17447.0</v>
      </c>
      <c r="G46" s="6">
        <f t="shared" si="15"/>
        <v>0.02435772503</v>
      </c>
      <c r="H46" s="7">
        <v>3.374E-6</v>
      </c>
      <c r="I46" s="2">
        <v>10.0</v>
      </c>
      <c r="K46" s="2">
        <v>10.0</v>
      </c>
      <c r="L46" s="6">
        <f>AVERAGE(C45:C54)</f>
        <v>0.1571886471</v>
      </c>
    </row>
    <row r="47">
      <c r="A47" s="2" t="s">
        <v>5</v>
      </c>
      <c r="B47" s="5">
        <v>6957.0</v>
      </c>
      <c r="C47" s="6">
        <f t="shared" si="14"/>
        <v>0.1569861901</v>
      </c>
      <c r="D47" s="5">
        <v>44316.0</v>
      </c>
      <c r="E47" s="5">
        <v>714815.0</v>
      </c>
      <c r="F47" s="5">
        <v>17123.0</v>
      </c>
      <c r="G47" s="6">
        <f t="shared" si="15"/>
        <v>0.02395444975</v>
      </c>
      <c r="H47" s="7">
        <v>2.656E-6</v>
      </c>
      <c r="I47" s="2">
        <v>10.0</v>
      </c>
      <c r="K47" s="2">
        <v>100.0</v>
      </c>
      <c r="L47" s="6">
        <f>AVERAGE(C55:C64)</f>
        <v>0.1641002906</v>
      </c>
    </row>
    <row r="48">
      <c r="A48" s="2" t="s">
        <v>6</v>
      </c>
      <c r="B48" s="5">
        <v>7455.0</v>
      </c>
      <c r="C48" s="6">
        <f t="shared" si="14"/>
        <v>0.1672762358</v>
      </c>
      <c r="D48" s="5">
        <v>44567.0</v>
      </c>
      <c r="E48" s="5">
        <v>718906.0</v>
      </c>
      <c r="F48" s="5">
        <v>17350.0</v>
      </c>
      <c r="G48" s="6">
        <f t="shared" si="15"/>
        <v>0.02413389233</v>
      </c>
      <c r="H48" s="7">
        <v>3.426E-6</v>
      </c>
      <c r="I48" s="2">
        <v>10.0</v>
      </c>
      <c r="K48" s="2">
        <v>300.0</v>
      </c>
      <c r="L48" s="6">
        <f>C87</f>
        <v>0.1814309937</v>
      </c>
    </row>
    <row r="49">
      <c r="A49" s="2" t="s">
        <v>7</v>
      </c>
      <c r="B49" s="5">
        <v>6407.0</v>
      </c>
      <c r="C49" s="6">
        <f t="shared" si="14"/>
        <v>0.1425266389</v>
      </c>
      <c r="D49" s="5">
        <v>44953.0</v>
      </c>
      <c r="E49" s="5">
        <v>716917.0</v>
      </c>
      <c r="F49" s="5">
        <v>17129.0</v>
      </c>
      <c r="G49" s="6">
        <f t="shared" si="15"/>
        <v>0.0238925845</v>
      </c>
      <c r="H49" s="7">
        <v>3.521E-6</v>
      </c>
      <c r="I49" s="2">
        <v>10.0</v>
      </c>
      <c r="K49" s="2">
        <v>350.0</v>
      </c>
      <c r="L49" s="6">
        <f>C89</f>
        <v>0.2370314566</v>
      </c>
    </row>
    <row r="50">
      <c r="A50" s="2" t="s">
        <v>8</v>
      </c>
      <c r="B50" s="5">
        <v>7458.0</v>
      </c>
      <c r="C50" s="6">
        <f t="shared" si="14"/>
        <v>0.1659213776</v>
      </c>
      <c r="D50" s="5">
        <v>44949.0</v>
      </c>
      <c r="E50" s="5">
        <v>714842.0</v>
      </c>
      <c r="F50" s="5">
        <v>17063.0</v>
      </c>
      <c r="G50" s="6">
        <f t="shared" si="15"/>
        <v>0.02386961035</v>
      </c>
      <c r="H50" s="7">
        <v>3.56E-6</v>
      </c>
      <c r="I50" s="2">
        <v>10.0</v>
      </c>
      <c r="K50" s="2">
        <v>500.0</v>
      </c>
      <c r="L50" s="6">
        <f>C86</f>
        <v>0.2780865803</v>
      </c>
    </row>
    <row r="51">
      <c r="A51" s="2" t="s">
        <v>9</v>
      </c>
      <c r="B51" s="5">
        <v>6513.0</v>
      </c>
      <c r="C51" s="6">
        <f t="shared" si="14"/>
        <v>0.1456981791</v>
      </c>
      <c r="D51" s="5">
        <v>44702.0</v>
      </c>
      <c r="E51" s="5">
        <v>717757.0</v>
      </c>
      <c r="F51" s="5">
        <v>17214.0</v>
      </c>
      <c r="G51" s="6">
        <f t="shared" si="15"/>
        <v>0.02398304719</v>
      </c>
      <c r="H51" s="7">
        <v>2.776E-6</v>
      </c>
      <c r="I51" s="2">
        <v>10.0</v>
      </c>
      <c r="K51" s="2">
        <v>1000.0</v>
      </c>
      <c r="L51" s="6">
        <f>AVERAGE(C65:C74)</f>
        <v>0.3388409092</v>
      </c>
    </row>
    <row r="52">
      <c r="A52" s="2" t="s">
        <v>10</v>
      </c>
      <c r="B52" s="5">
        <v>6038.0</v>
      </c>
      <c r="C52" s="6">
        <f t="shared" si="14"/>
        <v>0.137885362</v>
      </c>
      <c r="D52" s="5">
        <v>43790.0</v>
      </c>
      <c r="E52" s="5">
        <v>715114.0</v>
      </c>
      <c r="F52" s="5">
        <v>17131.0</v>
      </c>
      <c r="G52" s="6">
        <f t="shared" si="15"/>
        <v>0.02395562106</v>
      </c>
      <c r="H52" s="7">
        <v>2.71E-6</v>
      </c>
      <c r="I52" s="2">
        <v>10.0</v>
      </c>
      <c r="K52" s="2">
        <v>10000.0</v>
      </c>
      <c r="L52" s="6">
        <f>AVERAGE(C75:C84)</f>
        <v>0.3980390694</v>
      </c>
    </row>
    <row r="53">
      <c r="A53" s="2" t="s">
        <v>12</v>
      </c>
      <c r="B53" s="5">
        <v>7093.0</v>
      </c>
      <c r="C53" s="6">
        <f t="shared" si="14"/>
        <v>0.1504028838</v>
      </c>
      <c r="D53" s="5">
        <v>47160.0</v>
      </c>
      <c r="E53" s="5">
        <v>716317.0</v>
      </c>
      <c r="F53" s="5">
        <v>17268.0</v>
      </c>
      <c r="G53" s="6">
        <f t="shared" si="15"/>
        <v>0.02410664552</v>
      </c>
      <c r="H53" s="7">
        <v>2.667E-6</v>
      </c>
      <c r="I53" s="2">
        <v>10.0</v>
      </c>
      <c r="L53" s="2" t="s">
        <v>62</v>
      </c>
    </row>
    <row r="54">
      <c r="A54" s="2" t="s">
        <v>14</v>
      </c>
      <c r="B54" s="5">
        <v>6229.0</v>
      </c>
      <c r="C54" s="6">
        <f t="shared" si="14"/>
        <v>0.1424683226</v>
      </c>
      <c r="D54" s="5">
        <v>43722.0</v>
      </c>
      <c r="E54" s="5">
        <v>714994.0</v>
      </c>
      <c r="F54" s="5">
        <v>17290.0</v>
      </c>
      <c r="G54" s="6">
        <f t="shared" si="15"/>
        <v>0.02418202111</v>
      </c>
      <c r="H54" s="7">
        <v>3.301E-6</v>
      </c>
      <c r="I54" s="2">
        <v>10.0</v>
      </c>
      <c r="K54" s="8">
        <v>10.0</v>
      </c>
      <c r="L54" s="9">
        <f>AVERAGE(H45:H54)</f>
        <v>0.0000030815</v>
      </c>
    </row>
    <row r="55">
      <c r="A55" s="2" t="s">
        <v>1</v>
      </c>
      <c r="B55" s="5">
        <v>9323.0</v>
      </c>
      <c r="C55" s="6">
        <f t="shared" si="14"/>
        <v>0.1324835515</v>
      </c>
      <c r="D55" s="5">
        <v>70371.0</v>
      </c>
      <c r="E55" s="5">
        <v>1244343.0</v>
      </c>
      <c r="F55" s="5">
        <v>22937.0</v>
      </c>
      <c r="G55" s="6">
        <f t="shared" si="15"/>
        <v>0.01843302048</v>
      </c>
      <c r="H55" s="7">
        <v>1.00027E-4</v>
      </c>
      <c r="I55" s="2">
        <v>100.0</v>
      </c>
      <c r="K55" s="8">
        <v>100.0</v>
      </c>
      <c r="L55" s="9">
        <f>AVERAGE(H55:H64)</f>
        <v>0.0000954877</v>
      </c>
    </row>
    <row r="56">
      <c r="A56" s="2" t="s">
        <v>3</v>
      </c>
      <c r="B56" s="5">
        <v>7282.0</v>
      </c>
      <c r="C56" s="6">
        <f t="shared" si="14"/>
        <v>0.1755798814</v>
      </c>
      <c r="D56" s="5">
        <v>41474.0</v>
      </c>
      <c r="E56" s="5">
        <v>1234176.0</v>
      </c>
      <c r="F56" s="5">
        <v>21450.0</v>
      </c>
      <c r="G56" s="6">
        <f t="shared" si="15"/>
        <v>0.01738001711</v>
      </c>
      <c r="H56" s="7">
        <v>9.2647E-5</v>
      </c>
      <c r="I56" s="2">
        <v>100.0</v>
      </c>
      <c r="K56" s="8">
        <v>300.0</v>
      </c>
      <c r="L56" s="4">
        <f>H87</f>
        <v>0.000820979</v>
      </c>
    </row>
    <row r="57">
      <c r="A57" s="2" t="s">
        <v>5</v>
      </c>
      <c r="B57" s="5">
        <v>7998.0</v>
      </c>
      <c r="C57" s="6">
        <f t="shared" si="14"/>
        <v>0.1687412971</v>
      </c>
      <c r="D57" s="5">
        <v>47398.0</v>
      </c>
      <c r="E57" s="5">
        <v>1234576.0</v>
      </c>
      <c r="F57" s="5">
        <v>21546.0</v>
      </c>
      <c r="G57" s="6">
        <f t="shared" si="15"/>
        <v>0.01745214551</v>
      </c>
      <c r="H57" s="7">
        <v>9.4314E-5</v>
      </c>
      <c r="I57" s="2">
        <v>100.0</v>
      </c>
      <c r="K57" s="8">
        <v>350.0</v>
      </c>
      <c r="L57" s="4">
        <f>H89</f>
        <v>0.000935113</v>
      </c>
    </row>
    <row r="58">
      <c r="A58" s="2" t="s">
        <v>6</v>
      </c>
      <c r="B58" s="5">
        <v>6768.0</v>
      </c>
      <c r="C58" s="6">
        <f t="shared" si="14"/>
        <v>0.1524530342</v>
      </c>
      <c r="D58" s="5">
        <v>44394.0</v>
      </c>
      <c r="E58" s="5">
        <v>1233171.0</v>
      </c>
      <c r="F58" s="5">
        <v>21417.0</v>
      </c>
      <c r="G58" s="6">
        <f t="shared" si="15"/>
        <v>0.01736742106</v>
      </c>
      <c r="H58" s="7">
        <v>9.5423E-5</v>
      </c>
      <c r="I58" s="2">
        <v>100.0</v>
      </c>
      <c r="K58" s="8">
        <v>500.0</v>
      </c>
      <c r="L58" s="4">
        <f>H86</f>
        <v>0.00226284</v>
      </c>
    </row>
    <row r="59">
      <c r="A59" s="2" t="s">
        <v>7</v>
      </c>
      <c r="B59" s="5">
        <v>7919.0</v>
      </c>
      <c r="C59" s="6">
        <f t="shared" si="14"/>
        <v>0.1761931249</v>
      </c>
      <c r="D59" s="5">
        <v>44945.0</v>
      </c>
      <c r="E59" s="5">
        <v>1231679.0</v>
      </c>
      <c r="F59" s="5">
        <v>21403.0</v>
      </c>
      <c r="G59" s="6">
        <f t="shared" si="15"/>
        <v>0.01737709257</v>
      </c>
      <c r="H59" s="7">
        <v>8.8056E-5</v>
      </c>
      <c r="I59" s="2">
        <v>100.0</v>
      </c>
      <c r="K59" s="8">
        <v>1000.0</v>
      </c>
      <c r="L59" s="9">
        <f>AVERAGE(H65:H74)</f>
        <v>0.007571761</v>
      </c>
    </row>
    <row r="60">
      <c r="A60" s="2" t="s">
        <v>8</v>
      </c>
      <c r="B60" s="5">
        <v>8353.0</v>
      </c>
      <c r="C60" s="6">
        <f t="shared" si="14"/>
        <v>0.1814725499</v>
      </c>
      <c r="D60" s="5">
        <v>46029.0</v>
      </c>
      <c r="E60" s="5">
        <v>1232838.0</v>
      </c>
      <c r="F60" s="5">
        <v>21571.0</v>
      </c>
      <c r="G60" s="6">
        <f t="shared" si="15"/>
        <v>0.01749702718</v>
      </c>
      <c r="H60" s="7">
        <v>1.03442E-4</v>
      </c>
      <c r="I60" s="2">
        <v>100.0</v>
      </c>
      <c r="K60" s="8">
        <v>10000.0</v>
      </c>
      <c r="L60" s="4">
        <f>AVERAGE(H75:H84)</f>
        <v>0.7180687</v>
      </c>
    </row>
    <row r="61">
      <c r="A61" s="2" t="s">
        <v>9</v>
      </c>
      <c r="B61" s="5">
        <v>7957.0</v>
      </c>
      <c r="C61" s="6">
        <f t="shared" si="14"/>
        <v>0.1647821405</v>
      </c>
      <c r="D61" s="5">
        <v>48288.0</v>
      </c>
      <c r="E61" s="5">
        <v>1234320.0</v>
      </c>
      <c r="F61" s="5">
        <v>21867.0</v>
      </c>
      <c r="G61" s="6">
        <f t="shared" si="15"/>
        <v>0.01771582734</v>
      </c>
      <c r="H61" s="7">
        <v>9.6026E-5</v>
      </c>
      <c r="I61" s="2">
        <v>100.0</v>
      </c>
      <c r="K61" s="10"/>
    </row>
    <row r="62">
      <c r="A62" s="2" t="s">
        <v>10</v>
      </c>
      <c r="B62" s="5">
        <v>7176.0</v>
      </c>
      <c r="C62" s="6">
        <f t="shared" si="14"/>
        <v>0.1601964505</v>
      </c>
      <c r="D62" s="5">
        <v>44795.0</v>
      </c>
      <c r="E62" s="5">
        <v>1233662.0</v>
      </c>
      <c r="F62" s="5">
        <v>21770.0</v>
      </c>
      <c r="G62" s="6">
        <f t="shared" si="15"/>
        <v>0.01764664876</v>
      </c>
      <c r="H62" s="7">
        <v>1.02292E-4</v>
      </c>
      <c r="I62" s="2">
        <v>100.0</v>
      </c>
    </row>
    <row r="63">
      <c r="A63" s="2" t="s">
        <v>12</v>
      </c>
      <c r="B63" s="5">
        <v>6407.0</v>
      </c>
      <c r="C63" s="6">
        <f t="shared" si="14"/>
        <v>0.1428858162</v>
      </c>
      <c r="D63" s="5">
        <v>44840.0</v>
      </c>
      <c r="E63" s="5">
        <v>1232866.0</v>
      </c>
      <c r="F63" s="5">
        <v>21630.0</v>
      </c>
      <c r="G63" s="6">
        <f t="shared" si="15"/>
        <v>0.01754448578</v>
      </c>
      <c r="H63" s="7">
        <v>1.05949E-4</v>
      </c>
      <c r="I63" s="2">
        <v>100.0</v>
      </c>
    </row>
    <row r="64">
      <c r="A64" s="2" t="s">
        <v>14</v>
      </c>
      <c r="B64" s="5">
        <v>8967.0</v>
      </c>
      <c r="C64" s="6">
        <f t="shared" si="14"/>
        <v>0.18621506</v>
      </c>
      <c r="D64" s="5">
        <v>48154.0</v>
      </c>
      <c r="E64" s="5">
        <v>1233276.0</v>
      </c>
      <c r="F64" s="5">
        <v>21432.0</v>
      </c>
      <c r="G64" s="6">
        <f t="shared" si="15"/>
        <v>0.01737810514</v>
      </c>
      <c r="H64" s="7">
        <v>7.6701E-5</v>
      </c>
      <c r="I64" s="2">
        <v>100.0</v>
      </c>
    </row>
    <row r="65">
      <c r="A65" s="2" t="s">
        <v>1</v>
      </c>
      <c r="B65" s="5">
        <v>56673.0</v>
      </c>
      <c r="C65" s="6">
        <f t="shared" si="14"/>
        <v>0.3190185085</v>
      </c>
      <c r="D65" s="5">
        <v>177648.0</v>
      </c>
      <c r="E65" s="5">
        <v>4.0728724E7</v>
      </c>
      <c r="F65" s="5">
        <v>324547.0</v>
      </c>
      <c r="G65" s="6">
        <f t="shared" si="15"/>
        <v>0.007968503997</v>
      </c>
      <c r="H65" s="7">
        <v>0.0076874</v>
      </c>
      <c r="I65" s="2">
        <v>1000.0</v>
      </c>
    </row>
    <row r="66">
      <c r="A66" s="2" t="s">
        <v>3</v>
      </c>
      <c r="B66" s="5">
        <v>54194.0</v>
      </c>
      <c r="C66" s="6">
        <f t="shared" si="14"/>
        <v>0.3521354637</v>
      </c>
      <c r="D66" s="5">
        <v>153901.0</v>
      </c>
      <c r="E66" s="5">
        <v>4.071766E7</v>
      </c>
      <c r="F66" s="5">
        <v>322583.0</v>
      </c>
      <c r="G66" s="6">
        <f t="shared" si="15"/>
        <v>0.007922434639</v>
      </c>
      <c r="H66" s="2">
        <v>0.00821019</v>
      </c>
      <c r="I66" s="2">
        <v>1000.0</v>
      </c>
    </row>
    <row r="67">
      <c r="A67" s="2" t="s">
        <v>5</v>
      </c>
      <c r="B67" s="5">
        <v>54125.0</v>
      </c>
      <c r="C67" s="6">
        <f t="shared" si="14"/>
        <v>0.361563692</v>
      </c>
      <c r="D67" s="5">
        <v>149697.0</v>
      </c>
      <c r="E67" s="5">
        <v>4.0710544E7</v>
      </c>
      <c r="F67" s="5">
        <v>323645.0</v>
      </c>
      <c r="G67" s="6">
        <f t="shared" si="15"/>
        <v>0.007949906049</v>
      </c>
      <c r="H67" s="2">
        <v>0.0074202</v>
      </c>
      <c r="I67" s="2">
        <v>1000.0</v>
      </c>
    </row>
    <row r="68">
      <c r="A68" s="2" t="s">
        <v>6</v>
      </c>
      <c r="B68" s="5">
        <v>55618.0</v>
      </c>
      <c r="C68" s="6">
        <f t="shared" si="14"/>
        <v>0.3506566379</v>
      </c>
      <c r="D68" s="5">
        <v>158611.0</v>
      </c>
      <c r="E68" s="5">
        <v>4.0707716E7</v>
      </c>
      <c r="F68" s="5">
        <v>323489.0</v>
      </c>
      <c r="G68" s="6">
        <f t="shared" si="15"/>
        <v>0.007946626138</v>
      </c>
      <c r="H68" s="2">
        <v>0.00682078</v>
      </c>
      <c r="I68" s="2">
        <v>1000.0</v>
      </c>
    </row>
    <row r="69">
      <c r="A69" s="2" t="s">
        <v>7</v>
      </c>
      <c r="B69" s="5">
        <v>57939.0</v>
      </c>
      <c r="C69" s="6">
        <f t="shared" si="14"/>
        <v>0.310995051</v>
      </c>
      <c r="D69" s="5">
        <v>186302.0</v>
      </c>
      <c r="E69" s="5">
        <v>4.071068E7</v>
      </c>
      <c r="F69" s="5">
        <v>323458.0</v>
      </c>
      <c r="G69" s="6">
        <f t="shared" si="15"/>
        <v>0.007945286102</v>
      </c>
      <c r="H69" s="2">
        <v>0.00775586</v>
      </c>
      <c r="I69" s="2">
        <v>1000.0</v>
      </c>
    </row>
    <row r="70">
      <c r="A70" s="2" t="s">
        <v>8</v>
      </c>
      <c r="B70" s="5">
        <v>53609.0</v>
      </c>
      <c r="C70" s="6">
        <f t="shared" si="14"/>
        <v>0.28449598</v>
      </c>
      <c r="D70" s="5">
        <v>188435.0</v>
      </c>
      <c r="E70" s="5">
        <v>4.0720545E7</v>
      </c>
      <c r="F70" s="5">
        <v>323626.0</v>
      </c>
      <c r="G70" s="6">
        <f t="shared" si="15"/>
        <v>0.00794748695</v>
      </c>
      <c r="H70" s="2">
        <v>0.00770543</v>
      </c>
      <c r="I70" s="2">
        <v>1000.0</v>
      </c>
    </row>
    <row r="71">
      <c r="A71" s="2" t="s">
        <v>9</v>
      </c>
      <c r="B71" s="5">
        <v>56160.0</v>
      </c>
      <c r="C71" s="6">
        <f t="shared" si="14"/>
        <v>0.3177117513</v>
      </c>
      <c r="D71" s="5">
        <v>176764.0</v>
      </c>
      <c r="E71" s="5">
        <v>4.0718702E7</v>
      </c>
      <c r="F71" s="5">
        <v>323983.0</v>
      </c>
      <c r="G71" s="6">
        <f t="shared" si="15"/>
        <v>0.007956614138</v>
      </c>
      <c r="H71" s="2">
        <v>0.00676931</v>
      </c>
      <c r="I71" s="2">
        <v>1000.0</v>
      </c>
    </row>
    <row r="72">
      <c r="A72" s="2" t="s">
        <v>10</v>
      </c>
      <c r="B72" s="5">
        <v>54416.0</v>
      </c>
      <c r="C72" s="6">
        <f t="shared" si="14"/>
        <v>0.3610451306</v>
      </c>
      <c r="D72" s="5">
        <v>150718.0</v>
      </c>
      <c r="E72" s="5">
        <v>4.0723823E7</v>
      </c>
      <c r="F72" s="5">
        <v>322227.0</v>
      </c>
      <c r="G72" s="6">
        <f t="shared" si="15"/>
        <v>0.007912493874</v>
      </c>
      <c r="H72" s="2">
        <v>0.00885131</v>
      </c>
      <c r="I72" s="2">
        <v>1000.0</v>
      </c>
      <c r="L72" s="2" t="s">
        <v>63</v>
      </c>
    </row>
    <row r="73">
      <c r="A73" s="2" t="s">
        <v>12</v>
      </c>
      <c r="B73" s="5">
        <v>53933.0</v>
      </c>
      <c r="C73" s="6">
        <f t="shared" si="14"/>
        <v>0.3640431995</v>
      </c>
      <c r="D73" s="5">
        <v>148150.0</v>
      </c>
      <c r="E73" s="5">
        <v>4.0709257E7</v>
      </c>
      <c r="F73" s="5">
        <v>322165.0</v>
      </c>
      <c r="G73" s="6">
        <f t="shared" si="15"/>
        <v>0.007913802013</v>
      </c>
      <c r="H73" s="2">
        <v>0.00706956</v>
      </c>
      <c r="I73" s="2">
        <v>1000.0</v>
      </c>
      <c r="K73" s="2" t="s">
        <v>64</v>
      </c>
      <c r="L73" s="6">
        <f>AVERAGE(G92:G101)</f>
        <v>0.002477079693</v>
      </c>
    </row>
    <row r="74">
      <c r="A74" s="2" t="s">
        <v>14</v>
      </c>
      <c r="B74" s="5">
        <v>53337.0</v>
      </c>
      <c r="C74" s="6">
        <f t="shared" si="14"/>
        <v>0.3667436775</v>
      </c>
      <c r="D74" s="5">
        <v>145434.0</v>
      </c>
      <c r="E74" s="5">
        <v>4.0712041E7</v>
      </c>
      <c r="F74" s="5">
        <v>323511.0</v>
      </c>
      <c r="G74" s="6">
        <f t="shared" si="15"/>
        <v>0.007946322318</v>
      </c>
      <c r="H74" s="2">
        <v>0.00742757</v>
      </c>
      <c r="I74" s="2">
        <v>1000.0</v>
      </c>
      <c r="K74" s="2" t="s">
        <v>65</v>
      </c>
      <c r="L74" s="6">
        <f>AVERAGE(G75:G84)</f>
        <v>0.007283004591</v>
      </c>
    </row>
    <row r="75">
      <c r="A75" s="2" t="s">
        <v>1</v>
      </c>
      <c r="B75" s="5">
        <v>9671594.0</v>
      </c>
      <c r="C75" s="6">
        <f t="shared" si="14"/>
        <v>0.3964551844</v>
      </c>
      <c r="D75" s="5">
        <v>2.4395176E7</v>
      </c>
      <c r="E75" s="5">
        <v>3.798251919E9</v>
      </c>
      <c r="F75" s="5">
        <v>2.7658071E7</v>
      </c>
      <c r="G75" s="6">
        <f t="shared" si="15"/>
        <v>0.007281789515</v>
      </c>
      <c r="H75" s="2">
        <v>0.702568</v>
      </c>
      <c r="I75" s="2">
        <v>10000.0</v>
      </c>
    </row>
    <row r="76">
      <c r="A76" s="2" t="s">
        <v>3</v>
      </c>
      <c r="B76" s="5">
        <v>9667623.0</v>
      </c>
      <c r="C76" s="6">
        <f t="shared" si="14"/>
        <v>0.4042046026</v>
      </c>
      <c r="D76" s="5">
        <v>2.3917647E7</v>
      </c>
      <c r="E76" s="5">
        <v>3.798024247E9</v>
      </c>
      <c r="F76" s="5">
        <v>2.7682503E7</v>
      </c>
      <c r="G76" s="6">
        <f t="shared" si="15"/>
        <v>0.007288658839</v>
      </c>
      <c r="H76" s="2">
        <v>0.715262</v>
      </c>
      <c r="I76" s="2">
        <v>10000.0</v>
      </c>
    </row>
    <row r="77">
      <c r="A77" s="2" t="s">
        <v>5</v>
      </c>
      <c r="B77" s="5">
        <v>9678626.0</v>
      </c>
      <c r="C77" s="6">
        <f t="shared" si="14"/>
        <v>0.3967222321</v>
      </c>
      <c r="D77" s="5">
        <v>2.439648E7</v>
      </c>
      <c r="E77" s="5">
        <v>3.798271691E9</v>
      </c>
      <c r="F77" s="5">
        <v>2.7678071E7</v>
      </c>
      <c r="G77" s="6">
        <f t="shared" si="15"/>
        <v>0.007287017162</v>
      </c>
      <c r="H77" s="2">
        <v>0.710075</v>
      </c>
      <c r="I77" s="2">
        <v>10000.0</v>
      </c>
    </row>
    <row r="78">
      <c r="A78" s="2" t="s">
        <v>6</v>
      </c>
      <c r="B78" s="5">
        <v>9600018.0</v>
      </c>
      <c r="C78" s="6">
        <f t="shared" si="14"/>
        <v>0.3882999773</v>
      </c>
      <c r="D78" s="5">
        <v>2.47232E7</v>
      </c>
      <c r="E78" s="5">
        <v>3.798247464E9</v>
      </c>
      <c r="F78" s="5">
        <v>2.7648607E7</v>
      </c>
      <c r="G78" s="6">
        <f t="shared" si="15"/>
        <v>0.007279306381</v>
      </c>
      <c r="H78" s="2">
        <v>0.71235</v>
      </c>
      <c r="I78" s="2">
        <v>10000.0</v>
      </c>
    </row>
    <row r="79">
      <c r="A79" s="2" t="s">
        <v>7</v>
      </c>
      <c r="B79" s="5">
        <v>9708723.0</v>
      </c>
      <c r="C79" s="6">
        <f t="shared" si="14"/>
        <v>0.4024281922</v>
      </c>
      <c r="D79" s="5">
        <v>2.4125355E7</v>
      </c>
      <c r="E79" s="5">
        <v>3.798212745E9</v>
      </c>
      <c r="F79" s="5">
        <v>2.7634575E7</v>
      </c>
      <c r="G79" s="6">
        <f t="shared" si="15"/>
        <v>0.007275678551</v>
      </c>
      <c r="H79" s="2">
        <v>0.713798</v>
      </c>
      <c r="I79" s="2">
        <v>10000.0</v>
      </c>
    </row>
    <row r="80">
      <c r="A80" s="2" t="s">
        <v>8</v>
      </c>
      <c r="B80" s="5">
        <v>9625451.0</v>
      </c>
      <c r="C80" s="6">
        <f t="shared" si="14"/>
        <v>0.3871851151</v>
      </c>
      <c r="D80" s="5">
        <v>2.4860075E7</v>
      </c>
      <c r="E80" s="5">
        <v>3.798253816E9</v>
      </c>
      <c r="F80" s="5">
        <v>2.7737444E7</v>
      </c>
      <c r="G80" s="6">
        <f t="shared" si="15"/>
        <v>0.007302683113</v>
      </c>
      <c r="H80" s="2">
        <v>0.700016</v>
      </c>
      <c r="I80" s="2">
        <v>10000.0</v>
      </c>
    </row>
    <row r="81">
      <c r="A81" s="2" t="s">
        <v>9</v>
      </c>
      <c r="B81" s="5">
        <v>9699689.0</v>
      </c>
      <c r="C81" s="6">
        <f t="shared" si="14"/>
        <v>0.4039502521</v>
      </c>
      <c r="D81" s="5">
        <v>2.4012088E7</v>
      </c>
      <c r="E81" s="5">
        <v>3.79822714E9</v>
      </c>
      <c r="F81" s="5">
        <v>2.7659444E7</v>
      </c>
      <c r="G81" s="6">
        <f t="shared" si="15"/>
        <v>0.007282198505</v>
      </c>
      <c r="H81" s="2">
        <v>0.71625</v>
      </c>
      <c r="I81" s="2">
        <v>10000.0</v>
      </c>
    </row>
    <row r="82">
      <c r="A82" s="2" t="s">
        <v>10</v>
      </c>
      <c r="B82" s="5">
        <v>9690428.0</v>
      </c>
      <c r="C82" s="6">
        <f t="shared" si="14"/>
        <v>0.4004774439</v>
      </c>
      <c r="D82" s="5">
        <v>2.4197188E7</v>
      </c>
      <c r="E82" s="5">
        <v>3.798219263E9</v>
      </c>
      <c r="F82" s="5">
        <v>2.7604561E7</v>
      </c>
      <c r="G82" s="6">
        <f t="shared" si="15"/>
        <v>0.007267763941</v>
      </c>
      <c r="H82" s="2">
        <v>0.699769</v>
      </c>
      <c r="I82" s="2">
        <v>10000.0</v>
      </c>
    </row>
    <row r="83">
      <c r="A83" s="2" t="s">
        <v>12</v>
      </c>
      <c r="B83" s="5">
        <v>9629902.0</v>
      </c>
      <c r="C83" s="6">
        <f t="shared" si="14"/>
        <v>0.4042445183</v>
      </c>
      <c r="D83" s="5">
        <v>2.3821973E7</v>
      </c>
      <c r="E83" s="5">
        <v>3.797907248E9</v>
      </c>
      <c r="F83" s="5">
        <v>2.766493E7</v>
      </c>
      <c r="G83" s="6">
        <f t="shared" si="15"/>
        <v>0.007284256353</v>
      </c>
      <c r="H83" s="2">
        <v>0.752359</v>
      </c>
      <c r="I83" s="2">
        <v>10000.0</v>
      </c>
      <c r="L83" s="2" t="s">
        <v>66</v>
      </c>
    </row>
    <row r="84">
      <c r="A84" s="2" t="s">
        <v>14</v>
      </c>
      <c r="B84" s="5">
        <v>9639131.0</v>
      </c>
      <c r="C84" s="6">
        <f t="shared" si="14"/>
        <v>0.3964231756</v>
      </c>
      <c r="D84" s="5">
        <v>2.4315256E7</v>
      </c>
      <c r="E84" s="5">
        <v>3.797996141E9</v>
      </c>
      <c r="F84" s="5">
        <v>2.7652046E7</v>
      </c>
      <c r="G84" s="6">
        <f t="shared" si="15"/>
        <v>0.007280693548</v>
      </c>
      <c r="H84" s="2">
        <v>0.75824</v>
      </c>
      <c r="I84" s="2">
        <v>10000.0</v>
      </c>
      <c r="K84" s="10" t="s">
        <v>64</v>
      </c>
      <c r="L84" s="6">
        <f>AVERAGE(C92:C101)</f>
        <v>0.2862173724</v>
      </c>
    </row>
    <row r="85">
      <c r="C85" s="6"/>
      <c r="G85" s="6"/>
      <c r="K85" s="10" t="s">
        <v>65</v>
      </c>
      <c r="L85" s="6">
        <f>AVERAGE(C76:C85)</f>
        <v>0.3982150566</v>
      </c>
    </row>
    <row r="86">
      <c r="B86" s="5">
        <v>20312.0</v>
      </c>
      <c r="C86" s="6">
        <f t="shared" ref="C86:C87" si="16">DIVIDE(B86,D86)</f>
        <v>0.2780865803</v>
      </c>
      <c r="D86" s="5">
        <v>73042.0</v>
      </c>
      <c r="E86" s="5">
        <v>1.12121E7</v>
      </c>
      <c r="F86" s="5">
        <v>100811.0</v>
      </c>
      <c r="G86" s="6">
        <f t="shared" ref="G86:G87" si="17">DIVIDE(F86,E86)</f>
        <v>0.008991268362</v>
      </c>
      <c r="H86" s="2">
        <v>0.00226284</v>
      </c>
      <c r="I86" s="2">
        <v>500.0</v>
      </c>
      <c r="K86" s="11"/>
    </row>
    <row r="87">
      <c r="B87" s="5">
        <v>13589.0</v>
      </c>
      <c r="C87" s="6">
        <f t="shared" si="16"/>
        <v>0.1814309937</v>
      </c>
      <c r="D87" s="5">
        <v>74899.0</v>
      </c>
      <c r="E87" s="5">
        <v>4745970.0</v>
      </c>
      <c r="F87" s="5">
        <v>51999.0</v>
      </c>
      <c r="G87" s="6">
        <f t="shared" si="17"/>
        <v>0.01095645358</v>
      </c>
      <c r="H87" s="2">
        <v>8.20979E-4</v>
      </c>
      <c r="I87" s="2">
        <v>300.0</v>
      </c>
      <c r="K87" s="10"/>
    </row>
    <row r="88">
      <c r="B88" s="5"/>
      <c r="C88" s="6"/>
      <c r="D88" s="5"/>
      <c r="E88" s="5"/>
      <c r="F88" s="5"/>
      <c r="G88" s="6"/>
    </row>
    <row r="89">
      <c r="B89" s="5">
        <v>15417.0</v>
      </c>
      <c r="C89" s="6">
        <f>DIVIDE(B89,D89)</f>
        <v>0.2370314566</v>
      </c>
      <c r="D89" s="5">
        <v>65042.0</v>
      </c>
      <c r="E89" s="5">
        <v>6063193.0</v>
      </c>
      <c r="F89" s="5">
        <v>61465.0</v>
      </c>
      <c r="G89" s="6">
        <f>DIVIDE(F89,E89)</f>
        <v>0.0101373979</v>
      </c>
      <c r="H89" s="2">
        <v>9.35113E-4</v>
      </c>
      <c r="I89" s="2">
        <v>350.0</v>
      </c>
    </row>
    <row r="90">
      <c r="C90" s="6"/>
      <c r="G90" s="6"/>
    </row>
    <row r="91">
      <c r="A91" s="2" t="s">
        <v>67</v>
      </c>
      <c r="C91" s="6"/>
      <c r="G91" s="6"/>
    </row>
    <row r="92">
      <c r="A92" s="2" t="s">
        <v>68</v>
      </c>
      <c r="B92" s="5">
        <v>19224.0</v>
      </c>
      <c r="C92" s="6">
        <f t="shared" ref="C92:C101" si="18">DIVIDE(B92,D92)</f>
        <v>0.2278264992</v>
      </c>
      <c r="D92" s="5">
        <v>84380.0</v>
      </c>
      <c r="E92" s="5">
        <v>7331983.0</v>
      </c>
      <c r="F92" s="5">
        <v>19201.0</v>
      </c>
      <c r="G92" s="6">
        <f t="shared" ref="G92:G101" si="19">DIVIDE(F92,E92)</f>
        <v>0.002618800398</v>
      </c>
      <c r="H92" s="2">
        <v>6.64645E-4</v>
      </c>
    </row>
    <row r="93">
      <c r="A93" s="2" t="s">
        <v>69</v>
      </c>
      <c r="B93" s="5">
        <v>17986.0</v>
      </c>
      <c r="C93" s="6">
        <f t="shared" si="18"/>
        <v>0.2817620704</v>
      </c>
      <c r="D93" s="5">
        <v>63834.0</v>
      </c>
      <c r="E93" s="5">
        <v>7320274.0</v>
      </c>
      <c r="F93" s="5">
        <v>18257.0</v>
      </c>
      <c r="G93" s="6">
        <f t="shared" si="19"/>
        <v>0.002494032327</v>
      </c>
      <c r="H93" s="2">
        <v>6.92716E-4</v>
      </c>
    </row>
    <row r="94">
      <c r="A94" s="2" t="s">
        <v>70</v>
      </c>
      <c r="B94" s="5">
        <v>17869.0</v>
      </c>
      <c r="C94" s="6">
        <f t="shared" si="18"/>
        <v>0.3044278242</v>
      </c>
      <c r="D94" s="5">
        <v>58697.0</v>
      </c>
      <c r="E94" s="5">
        <v>7318832.0</v>
      </c>
      <c r="F94" s="5">
        <v>17727.0</v>
      </c>
      <c r="G94" s="6">
        <f t="shared" si="19"/>
        <v>0.00242210779</v>
      </c>
      <c r="H94" s="2">
        <v>6.85175E-4</v>
      </c>
    </row>
    <row r="95">
      <c r="A95" s="2" t="s">
        <v>71</v>
      </c>
      <c r="B95" s="5">
        <v>18483.0</v>
      </c>
      <c r="C95" s="6">
        <f t="shared" si="18"/>
        <v>0.3045477014</v>
      </c>
      <c r="D95" s="5">
        <v>60690.0</v>
      </c>
      <c r="E95" s="5">
        <v>7319219.0</v>
      </c>
      <c r="F95" s="5">
        <v>18016.0</v>
      </c>
      <c r="G95" s="6">
        <f t="shared" si="19"/>
        <v>0.002461464809</v>
      </c>
      <c r="H95" s="2">
        <v>8.09966E-4</v>
      </c>
    </row>
    <row r="96">
      <c r="A96" s="2" t="s">
        <v>72</v>
      </c>
      <c r="B96" s="5">
        <v>17907.0</v>
      </c>
      <c r="C96" s="6">
        <f t="shared" si="18"/>
        <v>0.3064115946</v>
      </c>
      <c r="D96" s="5">
        <v>58441.0</v>
      </c>
      <c r="E96" s="5">
        <v>7315372.0</v>
      </c>
      <c r="F96" s="5">
        <v>17770.0</v>
      </c>
      <c r="G96" s="6">
        <f t="shared" si="19"/>
        <v>0.002429131424</v>
      </c>
      <c r="H96" s="2">
        <v>7.1552E-4</v>
      </c>
    </row>
    <row r="97">
      <c r="A97" s="2" t="s">
        <v>73</v>
      </c>
      <c r="B97" s="5">
        <v>19585.0</v>
      </c>
      <c r="C97" s="6">
        <f t="shared" si="18"/>
        <v>0.2881418273</v>
      </c>
      <c r="D97" s="5">
        <v>67970.0</v>
      </c>
      <c r="E97" s="5">
        <v>7321210.0</v>
      </c>
      <c r="F97" s="5">
        <v>18341.0</v>
      </c>
      <c r="G97" s="6">
        <f t="shared" si="19"/>
        <v>0.002505186984</v>
      </c>
      <c r="H97" s="2">
        <v>6.7674E-4</v>
      </c>
    </row>
    <row r="98">
      <c r="A98" s="2" t="s">
        <v>74</v>
      </c>
      <c r="B98" s="5">
        <v>17082.0</v>
      </c>
      <c r="C98" s="6">
        <f t="shared" si="18"/>
        <v>0.2937423693</v>
      </c>
      <c r="D98" s="5">
        <v>58153.0</v>
      </c>
      <c r="E98" s="5">
        <v>7317650.0</v>
      </c>
      <c r="F98" s="5">
        <v>17657.0</v>
      </c>
      <c r="G98" s="6">
        <f t="shared" si="19"/>
        <v>0.002412933114</v>
      </c>
      <c r="H98" s="2">
        <v>6.79769E-4</v>
      </c>
    </row>
    <row r="99">
      <c r="A99" s="2" t="s">
        <v>75</v>
      </c>
      <c r="B99" s="5">
        <v>18959.0</v>
      </c>
      <c r="C99" s="6">
        <f t="shared" si="18"/>
        <v>0.2770163647</v>
      </c>
      <c r="D99" s="5">
        <v>68440.0</v>
      </c>
      <c r="E99" s="5">
        <v>7322223.0</v>
      </c>
      <c r="F99" s="5">
        <v>18307.0</v>
      </c>
      <c r="G99" s="6">
        <f t="shared" si="19"/>
        <v>0.002500197003</v>
      </c>
      <c r="H99" s="2">
        <v>9.12934E-4</v>
      </c>
    </row>
    <row r="100">
      <c r="A100" s="2" t="s">
        <v>76</v>
      </c>
      <c r="B100" s="5">
        <v>17490.0</v>
      </c>
      <c r="C100" s="6">
        <f t="shared" si="18"/>
        <v>0.2957589286</v>
      </c>
      <c r="D100" s="5">
        <v>59136.0</v>
      </c>
      <c r="E100" s="5">
        <v>7322466.0</v>
      </c>
      <c r="F100" s="5">
        <v>17965.0</v>
      </c>
      <c r="G100" s="6">
        <f t="shared" si="19"/>
        <v>0.002453408456</v>
      </c>
      <c r="H100" s="2">
        <v>6.74047E-4</v>
      </c>
    </row>
    <row r="101">
      <c r="A101" s="2" t="s">
        <v>77</v>
      </c>
      <c r="B101" s="5">
        <v>17336.0</v>
      </c>
      <c r="C101" s="6">
        <f t="shared" si="18"/>
        <v>0.2825385443</v>
      </c>
      <c r="D101" s="5">
        <v>61358.0</v>
      </c>
      <c r="E101" s="5">
        <v>7320698.0</v>
      </c>
      <c r="F101" s="5">
        <v>18108.0</v>
      </c>
      <c r="G101" s="6">
        <f t="shared" si="19"/>
        <v>0.002473534627</v>
      </c>
      <c r="H101" s="2">
        <v>8.18962E-4</v>
      </c>
    </row>
    <row r="102">
      <c r="C102" s="6"/>
      <c r="G102" s="6"/>
    </row>
  </sheetData>
  <drawing r:id="rId1"/>
</worksheet>
</file>